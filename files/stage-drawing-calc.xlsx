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준치수" sheetId="1" state="visible" r:id="rId1"/>
    <sheet xmlns:r="http://schemas.openxmlformats.org/officeDocument/2006/relationships" name="단 산출" sheetId="2" state="visible" r:id="rId2"/>
    <sheet xmlns:r="http://schemas.openxmlformats.org/officeDocument/2006/relationships" name="영사 계산" sheetId="3" state="visible" r:id="rId3"/>
    <sheet xmlns:r="http://schemas.openxmlformats.org/officeDocument/2006/relationships" name="가정과 한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  <xf numFmtId="164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52" customWidth="1" min="3" max="3"/>
  </cols>
  <sheetData>
    <row r="1">
      <c r="A1" s="1" t="inlineStr">
        <is>
          <t>NEXT STAGE 무대 도면 수치 계산서 (2026.10.07 덧마루 30×3 내모임형 반영)</t>
        </is>
      </c>
    </row>
    <row r="2">
      <c r="A2" t="inlineStr">
        <is>
          <t>노란색 칸은 입력값입니다. 값을 바꾸면 다른 시트의 계산이 함께 바뀝니다. 단위 m, 각도는 도(°)</t>
        </is>
      </c>
    </row>
    <row r="4">
      <c r="A4" s="2" t="inlineStr">
        <is>
          <t>항목</t>
        </is>
      </c>
      <c r="B4" s="2" t="inlineStr">
        <is>
          <t>값</t>
        </is>
      </c>
      <c r="C4" s="2" t="inlineStr">
        <is>
          <t>출처 · 비고</t>
        </is>
      </c>
    </row>
    <row r="5">
      <c r="A5" s="3" t="inlineStr">
        <is>
          <t>프로시니엄 폭</t>
        </is>
      </c>
      <c r="B5" s="4" t="n">
        <v>14.8</v>
      </c>
      <c r="C5" s="3" t="inlineStr">
        <is>
          <t>극장 기술자료</t>
        </is>
      </c>
    </row>
    <row r="6">
      <c r="A6" s="3" t="inlineStr">
        <is>
          <t>공연 영역 폭</t>
        </is>
      </c>
      <c r="B6" s="4" t="n">
        <v>14.6</v>
      </c>
      <c r="C6" s="3" t="inlineStr">
        <is>
          <t>극장 시설 개요 (W14.6 × D13.5)</t>
        </is>
      </c>
    </row>
    <row r="7">
      <c r="A7" s="3" t="inlineStr">
        <is>
          <t>공연 영역 깊이</t>
        </is>
      </c>
      <c r="B7" s="4" t="n">
        <v>13.5</v>
      </c>
      <c r="C7" s="3" t="inlineStr">
        <is>
          <t>극장 시설 개요</t>
        </is>
      </c>
    </row>
    <row r="8">
      <c r="A8" s="3" t="inlineStr">
        <is>
          <t>샤막 폭</t>
        </is>
      </c>
      <c r="B8" s="4" t="n">
        <v>15</v>
      </c>
      <c r="C8" s="3" t="inlineStr">
        <is>
          <t>극장 보유 샤막 15×9m</t>
        </is>
      </c>
    </row>
    <row r="9">
      <c r="A9" s="3" t="inlineStr">
        <is>
          <t>샤막 높이</t>
        </is>
      </c>
      <c r="B9" s="4" t="n">
        <v>9</v>
      </c>
      <c r="C9" s="3" t="inlineStr">
        <is>
          <t>극장 보유 샤막</t>
        </is>
      </c>
    </row>
    <row r="10">
      <c r="A10" s="3" t="inlineStr">
        <is>
          <t>샤막 위치 y (#1 장치봉)</t>
        </is>
      </c>
      <c r="B10" s="4" t="n">
        <v>1.18</v>
      </c>
      <c r="C10" s="3" t="inlineStr">
        <is>
          <t>라인셋 일람 (배치안)</t>
        </is>
      </c>
    </row>
    <row r="11">
      <c r="A11" s="3" t="inlineStr">
        <is>
          <t>하늘막 y</t>
        </is>
      </c>
      <c r="B11" s="4" t="n">
        <v>12.93</v>
      </c>
      <c r="C11" s="3" t="inlineStr">
        <is>
          <t>라인셋 일람</t>
        </is>
      </c>
    </row>
    <row r="12">
      <c r="A12" s="3" t="inlineStr">
        <is>
          <t>화이트막 y</t>
        </is>
      </c>
      <c r="B12" s="4" t="n">
        <v>13.7</v>
      </c>
      <c r="C12" s="3" t="inlineStr">
        <is>
          <t>라인셋 일람</t>
        </is>
      </c>
    </row>
    <row r="13">
      <c r="A13" s="3" t="inlineStr">
        <is>
          <t>뒷벽 y</t>
        </is>
      </c>
      <c r="B13" s="4" t="n">
        <v>15.4</v>
      </c>
      <c r="C13" s="3" t="inlineStr">
        <is>
          <t>라인셋 일람</t>
        </is>
      </c>
    </row>
    <row r="14">
      <c r="A14" s="3" t="inlineStr">
        <is>
          <t>SL 측벽 (중심선 기준)</t>
        </is>
      </c>
      <c r="B14" s="4" t="n">
        <v>11.6</v>
      </c>
      <c r="C14" s="3" t="inlineStr">
        <is>
          <t>무대 기본 치수</t>
        </is>
      </c>
    </row>
    <row r="15">
      <c r="A15" s="3" t="inlineStr">
        <is>
          <t>SR 측벽 (중심선 기준)</t>
        </is>
      </c>
      <c r="B15" s="4" t="n">
        <v>11.97</v>
      </c>
      <c r="C15" s="3" t="inlineStr">
        <is>
          <t>무대탑 우측 벽</t>
        </is>
      </c>
    </row>
    <row r="16">
      <c r="A16" s="3" t="inlineStr">
        <is>
          <t>프로시니엄 반폭</t>
        </is>
      </c>
      <c r="B16" s="4" t="n">
        <v>7.4</v>
      </c>
      <c r="C16" s="3" t="inlineStr">
        <is>
          <t>≈ 7.49</t>
        </is>
      </c>
    </row>
    <row r="17">
      <c r="A17" s="3" t="inlineStr">
        <is>
          <t>모듈 한 변</t>
        </is>
      </c>
      <c r="B17" s="4" t="n">
        <v>1.5</v>
      </c>
      <c r="C17" s="3" t="inlineStr">
        <is>
          <t>10/7 확정: 15×15×30 모듈 (1.5m × 1.5m × 0.30m)</t>
        </is>
      </c>
    </row>
    <row r="18">
      <c r="A18" s="3" t="inlineStr">
        <is>
          <t>단 높이 (모듈 두께)</t>
        </is>
      </c>
      <c r="B18" s="4" t="n">
        <v>0.3</v>
      </c>
      <c r="C18" s="3" t="inlineStr">
        <is>
          <t>30cm × 3단</t>
        </is>
      </c>
    </row>
    <row r="19">
      <c r="A19" s="3" t="inlineStr">
        <is>
          <t>단 수</t>
        </is>
      </c>
      <c r="B19" s="4" t="n">
        <v>3</v>
      </c>
      <c r="C19" s="3" t="inlineStr">
        <is>
          <t>확정</t>
        </is>
      </c>
    </row>
    <row r="20">
      <c r="A20" s="3" t="inlineStr">
        <is>
          <t>중앙부 모듈 수 (가로)</t>
        </is>
      </c>
      <c r="B20" s="4" t="n">
        <v>3</v>
      </c>
      <c r="C20" s="3" t="inlineStr">
        <is>
          <t>배치안</t>
        </is>
      </c>
    </row>
    <row r="21">
      <c r="A21" s="3" t="inlineStr">
        <is>
          <t>날개 모듈 수 (한쪽, 가로)</t>
        </is>
      </c>
      <c r="B21" s="4" t="n">
        <v>2</v>
      </c>
      <c r="C21" s="3" t="inlineStr">
        <is>
          <t>배치안</t>
        </is>
      </c>
    </row>
    <row r="22">
      <c r="A22" s="3" t="inlineStr">
        <is>
          <t>날개 회전각 (°)</t>
        </is>
      </c>
      <c r="B22" s="4" t="n">
        <v>15</v>
      </c>
      <c r="C22" s="3" t="inlineStr">
        <is>
          <t>배치안: 객석 쪽으로 모음, 전면 내측 모서리 축</t>
        </is>
      </c>
    </row>
    <row r="23">
      <c r="A23" s="3" t="inlineStr">
        <is>
          <t>1단 앞선 y</t>
        </is>
      </c>
      <c r="B23" s="4" t="n">
        <v>6.9</v>
      </c>
      <c r="C23" s="3" t="inlineStr">
        <is>
          <t>배치안 (3단 후면 y 11.4 − 4.5)</t>
        </is>
      </c>
    </row>
    <row r="24">
      <c r="A24" s="3" t="inlineStr">
        <is>
          <t>프로젝터 y</t>
        </is>
      </c>
      <c r="B24" s="4" t="n">
        <v>14.9</v>
      </c>
      <c r="C24" s="3" t="inlineStr">
        <is>
          <t>배치안 (뒷벽 15.4 앞)</t>
        </is>
      </c>
    </row>
    <row r="25">
      <c r="A25" s="3" t="inlineStr">
        <is>
          <t>프로젝터 높이</t>
        </is>
      </c>
      <c r="B25" s="4" t="n">
        <v>3</v>
      </c>
      <c r="C25" s="3" t="inlineStr">
        <is>
          <t>가정 (스탠드)</t>
        </is>
      </c>
    </row>
    <row r="26">
      <c r="A26" s="3" t="inlineStr">
        <is>
          <t>샤막 하단 높이</t>
        </is>
      </c>
      <c r="B26" s="4" t="n">
        <v>0.3</v>
      </c>
      <c r="C26" s="3" t="inlineStr">
        <is>
          <t>가정</t>
        </is>
      </c>
    </row>
    <row r="27">
      <c r="A27" s="3" t="inlineStr">
        <is>
          <t>외부 프로젝터 광출력 (lm)</t>
        </is>
      </c>
      <c r="B27" s="4" t="n">
        <v>20000</v>
      </c>
      <c r="C27" s="3" t="inlineStr">
        <is>
          <t>스탭회의 언급 (레이저 2만 루멘)</t>
        </is>
      </c>
    </row>
    <row r="28">
      <c r="A28" s="3" t="inlineStr">
        <is>
          <t>극장 프로젝터 (ANSI lm)</t>
        </is>
      </c>
      <c r="B28" s="4" t="n">
        <v>15000</v>
      </c>
      <c r="C28" s="3" t="inlineStr">
        <is>
          <t>극장 보유 (Eiki LC-XT5)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0" customWidth="1" min="1" max="1"/>
    <col width="56" customWidth="1" min="2" max="2"/>
    <col width="14" customWidth="1" min="3" max="3"/>
    <col width="10" customWidth="1" min="4" max="4"/>
  </cols>
  <sheetData>
    <row r="1">
      <c r="A1" s="5" t="inlineStr">
        <is>
          <t>덧마루 · 공간 산출</t>
        </is>
      </c>
    </row>
    <row r="3">
      <c r="A3" s="2" t="inlineStr">
        <is>
          <t>항목</t>
        </is>
      </c>
      <c r="B3" s="2" t="inlineStr">
        <is>
          <t>계산식</t>
        </is>
      </c>
      <c r="C3" s="2" t="inlineStr">
        <is>
          <t>결과</t>
        </is>
      </c>
      <c r="D3" s="2" t="inlineStr">
        <is>
          <t>단위</t>
        </is>
      </c>
    </row>
    <row r="4">
      <c r="A4" s="3" t="inlineStr">
        <is>
          <t>단당 모듈 수</t>
        </is>
      </c>
      <c r="B4" s="3" t="inlineStr">
        <is>
          <t>기준치수!$B$20+2*기준치수!$B$21</t>
        </is>
      </c>
      <c r="C4" s="3">
        <f>기준치수!$B$20+2*기준치수!$B$21</f>
        <v/>
      </c>
      <c r="D4" s="3" t="inlineStr">
        <is>
          <t>개</t>
        </is>
      </c>
    </row>
    <row r="5">
      <c r="A5" s="3" t="inlineStr">
        <is>
          <t>모듈 총수</t>
        </is>
      </c>
      <c r="B5" s="3" t="inlineStr">
        <is>
          <t>C4*기준치수!$B$19</t>
        </is>
      </c>
      <c r="C5" s="3">
        <f>C4*기준치수!$B$19</f>
        <v/>
      </c>
      <c r="D5" s="3" t="inlineStr">
        <is>
          <t>개</t>
        </is>
      </c>
    </row>
    <row r="6">
      <c r="A6" s="3" t="inlineStr">
        <is>
          <t>단 1개 면적</t>
        </is>
      </c>
      <c r="B6" s="3" t="inlineStr">
        <is>
          <t>C4*기준치수!$B$17*기준치수!$B$17</t>
        </is>
      </c>
      <c r="C6" s="3">
        <f>C4*기준치수!$B$17*기준치수!$B$17</f>
        <v/>
      </c>
      <c r="D6" s="3" t="inlineStr">
        <is>
          <t>㎡</t>
        </is>
      </c>
    </row>
    <row r="7">
      <c r="A7" s="3" t="inlineStr">
        <is>
          <t>단 3개 합계</t>
        </is>
      </c>
      <c r="B7" s="3" t="inlineStr">
        <is>
          <t>C6*기준치수!$B$19</t>
        </is>
      </c>
      <c r="C7" s="3">
        <f>C6*기준치수!$B$19</f>
        <v/>
      </c>
      <c r="D7" s="3" t="inlineStr">
        <is>
          <t>㎡</t>
        </is>
      </c>
    </row>
    <row r="8">
      <c r="A8" s="3" t="inlineStr">
        <is>
          <t>공연 영역 면적</t>
        </is>
      </c>
      <c r="B8" s="3" t="inlineStr">
        <is>
          <t>기준치수!$B$6*기준치수!$B$7</t>
        </is>
      </c>
      <c r="C8" s="3">
        <f>기준치수!$B$6*기준치수!$B$7</f>
        <v/>
      </c>
      <c r="D8" s="3" t="inlineStr">
        <is>
          <t>㎡</t>
        </is>
      </c>
    </row>
    <row r="9">
      <c r="A9" s="3" t="inlineStr">
        <is>
          <t>단 점유율</t>
        </is>
      </c>
      <c r="B9" s="3" t="inlineStr">
        <is>
          <t>C7/C8</t>
        </is>
      </c>
      <c r="C9" s="6">
        <f>C7/C8</f>
        <v/>
      </c>
      <c r="D9" s="3" t="inlineStr">
        <is>
          <t>비율</t>
        </is>
      </c>
    </row>
    <row r="10">
      <c r="A10" s="3" t="inlineStr">
        <is>
          <t>중앙부 폭</t>
        </is>
      </c>
      <c r="B10" s="3" t="inlineStr">
        <is>
          <t>기준치수!$B$20*기준치수!$B$17</t>
        </is>
      </c>
      <c r="C10" s="3">
        <f>기준치수!$B$20*기준치수!$B$17</f>
        <v/>
      </c>
      <c r="D10" s="3" t="inlineStr">
        <is>
          <t>m</t>
        </is>
      </c>
    </row>
    <row r="11">
      <c r="A11" s="3" t="inlineStr">
        <is>
          <t>날개 길이</t>
        </is>
      </c>
      <c r="B11" s="3" t="inlineStr">
        <is>
          <t>기준치수!$B$21*기준치수!$B$17</t>
        </is>
      </c>
      <c r="C11" s="3">
        <f>기준치수!$B$21*기준치수!$B$17</f>
        <v/>
      </c>
      <c r="D11" s="3" t="inlineStr">
        <is>
          <t>m</t>
        </is>
      </c>
    </row>
    <row r="12">
      <c r="A12" s="3" t="inlineStr">
        <is>
          <t>단 깊이 합계</t>
        </is>
      </c>
      <c r="B12" s="3" t="inlineStr">
        <is>
          <t>기준치수!$B$19*기준치수!$B$17</t>
        </is>
      </c>
      <c r="C12" s="3">
        <f>기준치수!$B$19*기준치수!$B$17</f>
        <v/>
      </c>
      <c r="D12" s="3" t="inlineStr">
        <is>
          <t>m</t>
        </is>
      </c>
    </row>
    <row r="13">
      <c r="A13" s="3" t="inlineStr">
        <is>
          <t>3단 후면 y</t>
        </is>
      </c>
      <c r="B13" s="3" t="inlineStr">
        <is>
          <t>기준치수!$B$23+C12</t>
        </is>
      </c>
      <c r="C13" s="3">
        <f>기준치수!$B$23+C12</f>
        <v/>
      </c>
      <c r="D13" s="3" t="inlineStr">
        <is>
          <t>m</t>
        </is>
      </c>
    </row>
    <row r="14">
      <c r="A14" s="3" t="inlineStr">
        <is>
          <t>후방 간격</t>
        </is>
      </c>
      <c r="B14" s="3" t="inlineStr">
        <is>
          <t>기준치수!$B$11-C13</t>
        </is>
      </c>
      <c r="C14" s="3">
        <f>기준치수!$B$11-C13</f>
        <v/>
      </c>
      <c r="D14" s="3" t="inlineStr">
        <is>
          <t>m</t>
        </is>
      </c>
    </row>
    <row r="15">
      <c r="A15" s="3" t="inlineStr">
        <is>
          <t>날개 외곽 전단 x</t>
        </is>
      </c>
      <c r="B15" s="3" t="inlineStr">
        <is>
          <t>C10/2+C11*COS(RADIANS(기준치수!$B$22))</t>
        </is>
      </c>
      <c r="C15" s="3">
        <f>C10/2+C11*COS(RADIANS(기준치수!$B$22))</f>
        <v/>
      </c>
      <c r="D15" s="3" t="inlineStr">
        <is>
          <t>m</t>
        </is>
      </c>
    </row>
    <row r="16">
      <c r="A16" s="3" t="inlineStr">
        <is>
          <t>날개 외곽 전단 y</t>
        </is>
      </c>
      <c r="B16" s="3" t="inlineStr">
        <is>
          <t>기준치수!$B$23-C11*SIN(RADIANS(기준치수!$B$22))</t>
        </is>
      </c>
      <c r="C16" s="3">
        <f>기준치수!$B$23-C11*SIN(RADIANS(기준치수!$B$22))</f>
        <v/>
      </c>
      <c r="D16" s="3" t="inlineStr">
        <is>
          <t>m</t>
        </is>
      </c>
    </row>
    <row r="17">
      <c r="A17" s="3" t="inlineStr">
        <is>
          <t>날개 외곽 후단 x</t>
        </is>
      </c>
      <c r="B17" s="3" t="inlineStr">
        <is>
          <t>C15+C12*SIN(RADIANS(기준치수!$B$22))</t>
        </is>
      </c>
      <c r="C17" s="3">
        <f>C15+C12*SIN(RADIANS(기준치수!$B$22))</f>
        <v/>
      </c>
      <c r="D17" s="3" t="inlineStr">
        <is>
          <t>m</t>
        </is>
      </c>
    </row>
    <row r="18">
      <c r="A18" s="3" t="inlineStr">
        <is>
          <t>날개 외곽 후단 y</t>
        </is>
      </c>
      <c r="B18" s="3" t="inlineStr">
        <is>
          <t>C16+C12*COS(RADIANS(기준치수!$B$22))</t>
        </is>
      </c>
      <c r="C18" s="3">
        <f>C16+C12*COS(RADIANS(기준치수!$B$22))</f>
        <v/>
      </c>
      <c r="D18" s="3" t="inlineStr">
        <is>
          <t>m</t>
        </is>
      </c>
    </row>
    <row r="19">
      <c r="A19" s="3" t="inlineStr">
        <is>
          <t>전면 현 폭</t>
        </is>
      </c>
      <c r="B19" s="3" t="inlineStr">
        <is>
          <t>2*C15</t>
        </is>
      </c>
      <c r="C19" s="3">
        <f>2*C15</f>
        <v/>
      </c>
      <c r="D19" s="3" t="inlineStr">
        <is>
          <t>m</t>
        </is>
      </c>
    </row>
    <row r="20">
      <c r="A20" s="3" t="inlineStr">
        <is>
          <t>후단 전체 폭</t>
        </is>
      </c>
      <c r="B20" s="3" t="inlineStr">
        <is>
          <t>2*C17</t>
        </is>
      </c>
      <c r="C20" s="3">
        <f>2*C17</f>
        <v/>
      </c>
      <c r="D20" s="3" t="inlineStr">
        <is>
          <t>m</t>
        </is>
      </c>
    </row>
    <row r="21">
      <c r="A21" s="3" t="inlineStr">
        <is>
          <t>측벽 여유 (공연 영역 ±폭/2 기준)</t>
        </is>
      </c>
      <c r="B21" s="3" t="inlineStr">
        <is>
          <t>기준치수!$B$6/2-C17</t>
        </is>
      </c>
      <c r="C21" s="3">
        <f>기준치수!$B$6/2-C17</f>
        <v/>
      </c>
      <c r="D21" s="3" t="inlineStr">
        <is>
          <t>m</t>
        </is>
      </c>
    </row>
    <row r="22">
      <c r="A22" s="3" t="inlineStr">
        <is>
          <t>쐐기 보정판 면적 (한쪽)</t>
        </is>
      </c>
      <c r="B22" s="3" t="inlineStr">
        <is>
          <t>0.5*C12*C12*SIN(RADIANS(기준치수!$B$22))</t>
        </is>
      </c>
      <c r="C22" s="3">
        <f>0.5*C12*C12*SIN(RADIANS(기준치수!$B$22))</f>
        <v/>
      </c>
      <c r="D22" s="3" t="inlineStr">
        <is>
          <t>㎡</t>
        </is>
      </c>
    </row>
    <row r="23">
      <c r="A23" s="3" t="inlineStr">
        <is>
          <t>연기 공간 깊이</t>
        </is>
      </c>
      <c r="B23" s="3" t="inlineStr">
        <is>
          <t>기준치수!$B$23-기준치수!$B$10</t>
        </is>
      </c>
      <c r="C23" s="3">
        <f>기준치수!$B$23-기준치수!$B$10</f>
        <v/>
      </c>
      <c r="D23" s="3" t="inlineStr">
        <is>
          <t>m</t>
        </is>
      </c>
    </row>
    <row r="24">
      <c r="A24" s="3" t="inlineStr">
        <is>
          <t>연기 공간 면적</t>
        </is>
      </c>
      <c r="B24" s="3" t="inlineStr">
        <is>
          <t>기준치수!$B$6*C23</t>
        </is>
      </c>
      <c r="C24" s="3">
        <f>기준치수!$B$6*C23</f>
        <v/>
      </c>
      <c r="D24" s="3" t="inlineStr">
        <is>
          <t>㎡</t>
        </is>
      </c>
    </row>
    <row r="25">
      <c r="A25" s="3" t="inlineStr">
        <is>
          <t>앙상블 14명 1인당 면적</t>
        </is>
      </c>
      <c r="B25" s="3" t="inlineStr">
        <is>
          <t>C24/14</t>
        </is>
      </c>
      <c r="C25" s="3">
        <f>C24/14</f>
        <v/>
      </c>
      <c r="D25" s="3" t="inlineStr">
        <is>
          <t>㎡</t>
        </is>
      </c>
    </row>
    <row r="26">
      <c r="A26" s="3" t="inlineStr">
        <is>
          <t>후방 통로 폭</t>
        </is>
      </c>
      <c r="B26" s="3" t="inlineStr">
        <is>
          <t>기준치수!$B$13-기준치수!$B$12</t>
        </is>
      </c>
      <c r="C26" s="3">
        <f>기준치수!$B$13-기준치수!$B$12</f>
        <v/>
      </c>
      <c r="D26" s="3" t="inlineStr">
        <is>
          <t>m</t>
        </is>
      </c>
    </row>
    <row r="27">
      <c r="A27" s="3" t="inlineStr">
        <is>
          <t>SL 윙 폭</t>
        </is>
      </c>
      <c r="B27" s="3" t="inlineStr">
        <is>
          <t>기준치수!$B$14-기준치수!$B$16</t>
        </is>
      </c>
      <c r="C27" s="3">
        <f>기준치수!$B$14-기준치수!$B$16</f>
        <v/>
      </c>
      <c r="D27" s="3" t="inlineStr">
        <is>
          <t>m</t>
        </is>
      </c>
    </row>
    <row r="28">
      <c r="A28" s="3" t="inlineStr">
        <is>
          <t>SR 윙 폭</t>
        </is>
      </c>
      <c r="B28" s="3" t="inlineStr">
        <is>
          <t>기준치수!$B$15-기준치수!$B$16</t>
        </is>
      </c>
      <c r="C28" s="3">
        <f>기준치수!$B$15-기준치수!$B$16</f>
        <v/>
      </c>
      <c r="D28" s="3" t="inlineStr">
        <is>
          <t>m</t>
        </is>
      </c>
    </row>
    <row r="29">
      <c r="A29" s="3" t="inlineStr">
        <is>
          <t>3단 후면 낙하 높이</t>
        </is>
      </c>
      <c r="B29" s="3" t="inlineStr">
        <is>
          <t>기준치수!$B$18*기준치수!$B$19</t>
        </is>
      </c>
      <c r="C29" s="3">
        <f>기준치수!$B$18*기준치수!$B$19</f>
        <v/>
      </c>
      <c r="D29" s="3" t="inlineStr">
        <is>
          <t>m</t>
        </is>
      </c>
    </row>
    <row r="30">
      <c r="A30" s="3" t="inlineStr">
        <is>
          <t>받침 장치 수 (가정: 2 · 3단 모듈 × 앞 · 뒤)</t>
        </is>
      </c>
      <c r="B30" s="3" t="inlineStr">
        <is>
          <t>C4*(기준치수!$B$19-1)*2</t>
        </is>
      </c>
      <c r="C30" s="3">
        <f>C4*(기준치수!$B$19-1)*2</f>
        <v/>
      </c>
      <c r="D30" s="3" t="inlineStr">
        <is>
          <t>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8" customWidth="1" min="3" max="3"/>
    <col width="28" customWidth="1" min="4" max="4"/>
    <col width="22" customWidth="1" min="5" max="5"/>
    <col width="16" customWidth="1" min="6" max="6"/>
  </cols>
  <sheetData>
    <row r="1">
      <c r="A1" s="5" t="inlineStr">
        <is>
          <t>영사 계산 (후방 프로젝터 → 샤막)</t>
        </is>
      </c>
    </row>
    <row r="3">
      <c r="A3" s="2" t="inlineStr">
        <is>
          <t>항목</t>
        </is>
      </c>
      <c r="B3" s="2" t="inlineStr">
        <is>
          <t>계산식</t>
        </is>
      </c>
      <c r="C3" s="2" t="inlineStr">
        <is>
          <t>결과</t>
        </is>
      </c>
      <c r="D3" s="2" t="inlineStr">
        <is>
          <t>단위</t>
        </is>
      </c>
    </row>
    <row r="4">
      <c r="A4" s="3" t="inlineStr">
        <is>
          <t>투사 거리</t>
        </is>
      </c>
      <c r="B4" s="3" t="inlineStr">
        <is>
          <t>기준치수!$B$24-기준치수!$B$10</t>
        </is>
      </c>
      <c r="C4" s="3">
        <f>기준치수!$B$24-기준치수!$B$10</f>
        <v/>
      </c>
      <c r="D4" s="3" t="inlineStr">
        <is>
          <t>m</t>
        </is>
      </c>
    </row>
    <row r="5">
      <c r="A5" s="3" t="inlineStr">
        <is>
          <t>필요 투사비</t>
        </is>
      </c>
      <c r="B5" s="3" t="inlineStr">
        <is>
          <t>C4/기준치수!$B$8</t>
        </is>
      </c>
      <c r="C5" s="3">
        <f>C4/기준치수!$B$8</f>
        <v/>
      </c>
      <c r="D5" s="3" t="inlineStr">
        <is>
          <t>: 1</t>
        </is>
      </c>
    </row>
    <row r="6">
      <c r="A6" s="3" t="inlineStr">
        <is>
          <t>영상 높이 16:9</t>
        </is>
      </c>
      <c r="B6" s="3" t="inlineStr">
        <is>
          <t>기준치수!$B$8*9/16</t>
        </is>
      </c>
      <c r="C6" s="3">
        <f>기준치수!$B$8*9/16</f>
        <v/>
      </c>
      <c r="D6" s="3" t="inlineStr">
        <is>
          <t>m</t>
        </is>
      </c>
    </row>
    <row r="7">
      <c r="A7" s="3" t="inlineStr">
        <is>
          <t>영상 높이 16:10</t>
        </is>
      </c>
      <c r="B7" s="3" t="inlineStr">
        <is>
          <t>기준치수!$B$8*10/16</t>
        </is>
      </c>
      <c r="C7" s="3">
        <f>기준치수!$B$8*10/16</f>
        <v/>
      </c>
      <c r="D7" s="3" t="inlineStr">
        <is>
          <t>m</t>
        </is>
      </c>
    </row>
    <row r="8">
      <c r="A8" s="3" t="inlineStr">
        <is>
          <t>16:10 샤막 높이 초과량</t>
        </is>
      </c>
      <c r="B8" s="3" t="inlineStr">
        <is>
          <t>MAX(0,C7-기준치수!$B$9)</t>
        </is>
      </c>
      <c r="C8" s="3">
        <f>MAX(0,C7-기준치수!$B$9)</f>
        <v/>
      </c>
      <c r="D8" s="3" t="inlineStr">
        <is>
          <t>m</t>
        </is>
      </c>
    </row>
    <row r="9">
      <c r="A9" s="3" t="inlineStr">
        <is>
          <t>영상 면적 16:9</t>
        </is>
      </c>
      <c r="B9" s="3" t="inlineStr">
        <is>
          <t>기준치수!$B$8*C6</t>
        </is>
      </c>
      <c r="C9" s="3">
        <f>기준치수!$B$8*C6</f>
        <v/>
      </c>
      <c r="D9" s="3" t="inlineStr">
        <is>
          <t>㎡</t>
        </is>
      </c>
    </row>
    <row r="10">
      <c r="A10" s="3" t="inlineStr">
        <is>
          <t>공칭 조도 (외부 프로젝터)</t>
        </is>
      </c>
      <c r="B10" s="3" t="inlineStr">
        <is>
          <t>기준치수!$B$27/C9</t>
        </is>
      </c>
      <c r="C10" s="3">
        <f>기준치수!$B$27/C9</f>
        <v/>
      </c>
      <c r="D10" s="3" t="inlineStr">
        <is>
          <t>lx</t>
        </is>
      </c>
    </row>
    <row r="11">
      <c r="A11" s="3" t="inlineStr">
        <is>
          <t>공칭 조도 (극장 프로젝터)</t>
        </is>
      </c>
      <c r="B11" s="3" t="inlineStr">
        <is>
          <t>기준치수!$B$28/C9</t>
        </is>
      </c>
      <c r="C11" s="3">
        <f>기준치수!$B$28/C9</f>
        <v/>
      </c>
      <c r="D11" s="3" t="inlineStr">
        <is>
          <t>lx</t>
        </is>
      </c>
    </row>
    <row r="12">
      <c r="A12" s="3" t="inlineStr">
        <is>
          <t>영상 하단 높이 z_b</t>
        </is>
      </c>
      <c r="B12" s="3" t="inlineStr">
        <is>
          <t>기준치수!$B$26+(기준치수!$B$9-C6)/2</t>
        </is>
      </c>
      <c r="C12" s="3">
        <f>기준치수!$B$26+(기준치수!$B$9-C6)/2</f>
        <v/>
      </c>
      <c r="D12" s="3" t="inlineStr">
        <is>
          <t>m</t>
        </is>
      </c>
    </row>
    <row r="15">
      <c r="A15" s="2" t="inlineStr">
        <is>
          <t>위치</t>
        </is>
      </c>
      <c r="B15" s="2" t="inlineStr">
        <is>
          <t>y (m)</t>
        </is>
      </c>
      <c r="C15" s="2" t="inlineStr">
        <is>
          <t>머리 높이 (m)</t>
        </is>
      </c>
      <c r="D15" s="2" t="inlineStr">
        <is>
          <t>t = (프로젝터y − y) ÷ 투사거리</t>
        </is>
      </c>
      <c r="E15" s="2" t="inlineStr">
        <is>
          <t>필요 프로젝터 높이 (m)</t>
        </is>
      </c>
      <c r="F15" s="2" t="inlineStr">
        <is>
          <t>현재 높이 판정</t>
        </is>
      </c>
    </row>
    <row r="16">
      <c r="A16" s="3" t="inlineStr">
        <is>
          <t>3단 후면 (서서)</t>
        </is>
      </c>
      <c r="B16" s="4" t="n">
        <v>11.4</v>
      </c>
      <c r="C16" s="4" t="n">
        <v>2.6</v>
      </c>
      <c r="D16" s="3">
        <f>(기준치수!$B$24-B16)/$C$4</f>
        <v/>
      </c>
      <c r="E16" s="3">
        <f>(C16-$C$12*D16)/(1-D16)</f>
        <v/>
      </c>
      <c r="F16" s="3">
        <f>IF(기준치수!$B$25&gt;=E16,"가능","부족")</f>
        <v/>
      </c>
    </row>
    <row r="17">
      <c r="A17" s="3" t="inlineStr">
        <is>
          <t>3단 후면 (앉아)</t>
        </is>
      </c>
      <c r="B17" s="4" t="n">
        <v>11.4</v>
      </c>
      <c r="C17" s="4" t="n">
        <v>2.2</v>
      </c>
      <c r="D17" s="3">
        <f>(기준치수!$B$24-B17)/$C$4</f>
        <v/>
      </c>
      <c r="E17" s="3">
        <f>(C17-$C$12*D17)/(1-D17)</f>
        <v/>
      </c>
      <c r="F17" s="3">
        <f>IF(기준치수!$B$25&gt;=E17,"가능","부족")</f>
        <v/>
      </c>
    </row>
    <row r="18">
      <c r="A18" s="3" t="inlineStr">
        <is>
          <t>2단 중앙 (앉아)</t>
        </is>
      </c>
      <c r="B18" s="4" t="n">
        <v>9.15</v>
      </c>
      <c r="C18" s="4" t="n">
        <v>1.9</v>
      </c>
      <c r="D18" s="3">
        <f>(기준치수!$B$24-B18)/$C$4</f>
        <v/>
      </c>
      <c r="E18" s="3">
        <f>(C18-$C$12*D18)/(1-D18)</f>
        <v/>
      </c>
      <c r="F18" s="3">
        <f>IF(기준치수!$B$25&gt;=E18,"가능","부족")</f>
        <v/>
      </c>
    </row>
    <row r="19">
      <c r="A19" s="3" t="inlineStr">
        <is>
          <t>1단 중앙 (앉아)</t>
        </is>
      </c>
      <c r="B19" s="4" t="n">
        <v>7.65</v>
      </c>
      <c r="C19" s="4" t="n">
        <v>1.6</v>
      </c>
      <c r="D19" s="3">
        <f>(기준치수!$B$24-B19)/$C$4</f>
        <v/>
      </c>
      <c r="E19" s="3">
        <f>(C19-$C$12*D19)/(1-D19)</f>
        <v/>
      </c>
      <c r="F19" s="3">
        <f>IF(기준치수!$B$25&gt;=E19,"가능","부족")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가정과 한계</t>
        </is>
      </c>
    </row>
    <row r="3">
      <c r="A3" s="7" t="inlineStr">
        <is>
          <t>10/7 확정안: 15×15×30 모듈로 30cm × 3단, 중앙부 + 좌우 날개를 객석 쪽으로 모은 내모임형. 2 · 3단은 아래 단 위에 쌓지 않고 아래 단 끝 아래의 받침 장치로 지지합니다</t>
        </is>
      </c>
    </row>
    <row r="4">
      <c r="A4" s="7" t="inlineStr">
        <is>
          <t>중앙부 3모듈(4.5m), 날개 2모듈(3.0m), 회전각 15°, 1단 앞선 y 6.9는 검토용 가정값입니다 (측벽 여유와 연주 영역에 맞춘 값)</t>
        </is>
      </c>
    </row>
    <row r="5">
      <c r="A5" s="7" t="inlineStr">
        <is>
          <t>날개는 전면 내측 모서리를 축으로 회전하므로 힌지부 뒤쪽에 삼각 틈이 생기며 보정판 또는 난간이 필요합니다</t>
        </is>
      </c>
    </row>
    <row r="6">
      <c r="A6" s="7" t="inlineStr">
        <is>
          <t>받침 장치의 형식 · 수량 · 허용 하중과 모듈 보유처는 확인 필요 (수량은 2 · 3단 모듈 앞 · 뒤 끝 1개씩 가정)</t>
        </is>
      </c>
    </row>
    <row r="7">
      <c r="A7" s="7" t="inlineStr">
        <is>
          <t>샤막 하단 높이 0.3m, 영상은 샤막 중앙에 16:9, 프로젝터 y 14.9m 높이 3.0m는 가정입니다</t>
        </is>
      </c>
    </row>
    <row r="8">
      <c r="A8" s="7" t="inlineStr">
        <is>
          <t>연주자 머리 높이는 서서 1.7m, 앉아서 1.3m로 가정했습니다</t>
        </is>
      </c>
    </row>
    <row r="9">
      <c r="A9" s="7" t="inlineStr">
        <is>
          <t>극장 장비 자료는 2014 ~ 2016년 기준입니다. 단 위 허용 하중과 후면 안전 조치는 극장 무대감독 확인이 필요합니다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2026-10-07T02:38:09Z</dcterms:created>
  <dcterms:modified xmlns:dcterms="http://purl.org/dc/terms/" xmlns:xsi="http://www.w3.org/2001/XMLSchema-instance" xsi:type="dcterms:W3CDTF">2026-10-07T02:38:09Z</dcterms:modified>
</cp:coreProperties>
</file>