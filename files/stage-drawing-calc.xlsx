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치수" sheetId="1" state="visible" r:id="rId1"/>
    <sheet xmlns:r="http://schemas.openxmlformats.org/officeDocument/2006/relationships" name="단 산출" sheetId="2" state="visible" r:id="rId2"/>
    <sheet xmlns:r="http://schemas.openxmlformats.org/officeDocument/2006/relationships" name="덧마루 산출" sheetId="3" state="visible" r:id="rId3"/>
    <sheet xmlns:r="http://schemas.openxmlformats.org/officeDocument/2006/relationships" name="영사 계산" sheetId="4" state="visible" r:id="rId4"/>
    <sheet xmlns:r="http://schemas.openxmlformats.org/officeDocument/2006/relationships" name="가정과 한계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3"/>
    </font>
    <font>
      <b val="1"/>
    </font>
  </fonts>
  <fills count="4">
    <fill>
      <patternFill/>
    </fill>
    <fill>
      <patternFill patternType="gray125"/>
    </fill>
    <fill>
      <patternFill patternType="solid">
        <fgColor rgb="001D1D1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3" fillId="0" borderId="0" pivotButton="0" quotePrefix="0" xfId="0"/>
    <xf numFmtId="164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44" customWidth="1" min="3" max="3"/>
  </cols>
  <sheetData>
    <row r="1">
      <c r="A1" s="1" t="inlineStr">
        <is>
          <t>NEXT STAGE 무대 도면 수치 계산서 (2026.10.06 최종 반영안)</t>
        </is>
      </c>
    </row>
    <row r="2">
      <c r="A2" t="inlineStr">
        <is>
          <t>노란색 칸은 입력값입니다. 값을 바꾸면 다른 시트의 계산이 함께 바뀝니다. 단위 m</t>
        </is>
      </c>
    </row>
    <row r="4">
      <c r="A4" s="2" t="inlineStr">
        <is>
          <t>항목</t>
        </is>
      </c>
      <c r="B4" s="2" t="inlineStr">
        <is>
          <t>값</t>
        </is>
      </c>
      <c r="C4" s="2" t="inlineStr">
        <is>
          <t>출처 · 비고</t>
        </is>
      </c>
    </row>
    <row r="5">
      <c r="A5" s="3" t="inlineStr">
        <is>
          <t>프로시니엄 폭</t>
        </is>
      </c>
      <c r="B5" s="4" t="n">
        <v>14.8</v>
      </c>
      <c r="C5" s="3" t="inlineStr">
        <is>
          <t>극장 기술자료</t>
        </is>
      </c>
    </row>
    <row r="6">
      <c r="A6" s="3" t="inlineStr">
        <is>
          <t>프로시니엄 높이</t>
        </is>
      </c>
      <c r="B6" s="4" t="n">
        <v>8.199999999999999</v>
      </c>
      <c r="C6" s="3" t="inlineStr">
        <is>
          <t>극장 기술자료</t>
        </is>
      </c>
    </row>
    <row r="7">
      <c r="A7" s="3" t="inlineStr">
        <is>
          <t>공연 영역 폭</t>
        </is>
      </c>
      <c r="B7" s="4" t="n">
        <v>14.6</v>
      </c>
      <c r="C7" s="3" t="inlineStr">
        <is>
          <t>극장 시설 개요 (W14.6 × D13.5)</t>
        </is>
      </c>
    </row>
    <row r="8">
      <c r="A8" s="3" t="inlineStr">
        <is>
          <t>공연 영역 깊이</t>
        </is>
      </c>
      <c r="B8" s="4" t="n">
        <v>13.5</v>
      </c>
      <c r="C8" s="3" t="inlineStr">
        <is>
          <t>극장 시설 개요</t>
        </is>
      </c>
    </row>
    <row r="9">
      <c r="A9" s="3" t="inlineStr">
        <is>
          <t>샤막 폭</t>
        </is>
      </c>
      <c r="B9" s="4" t="n">
        <v>15</v>
      </c>
      <c r="C9" s="3" t="inlineStr">
        <is>
          <t>극장 보유 샤막 15×9m</t>
        </is>
      </c>
    </row>
    <row r="10">
      <c r="A10" s="3" t="inlineStr">
        <is>
          <t>샤막 높이</t>
        </is>
      </c>
      <c r="B10" s="4" t="n">
        <v>9</v>
      </c>
      <c r="C10" s="3" t="inlineStr">
        <is>
          <t>극장 보유 샤막</t>
        </is>
      </c>
    </row>
    <row r="11">
      <c r="A11" s="3" t="inlineStr">
        <is>
          <t>샤막 위치 y (#1 장치봉)</t>
        </is>
      </c>
      <c r="B11" s="4" t="n">
        <v>1.18</v>
      </c>
      <c r="C11" s="3" t="inlineStr">
        <is>
          <t>라인셋 일람 (배치안)</t>
        </is>
      </c>
    </row>
    <row r="12">
      <c r="A12" s="3" t="inlineStr">
        <is>
          <t>하늘막 y</t>
        </is>
      </c>
      <c r="B12" s="4" t="n">
        <v>12.93</v>
      </c>
      <c r="C12" s="3" t="inlineStr">
        <is>
          <t>라인셋 일람</t>
        </is>
      </c>
    </row>
    <row r="13">
      <c r="A13" s="3" t="inlineStr">
        <is>
          <t>흑막 y</t>
        </is>
      </c>
      <c r="B13" s="4" t="n">
        <v>13.7</v>
      </c>
      <c r="C13" s="3" t="inlineStr">
        <is>
          <t>라인셋 일람</t>
        </is>
      </c>
    </row>
    <row r="14">
      <c r="A14" s="3" t="inlineStr">
        <is>
          <t>뒷벽 y</t>
        </is>
      </c>
      <c r="B14" s="4" t="n">
        <v>15.4</v>
      </c>
      <c r="C14" s="3" t="inlineStr">
        <is>
          <t>무대 기본 치수</t>
        </is>
      </c>
    </row>
    <row r="15">
      <c r="A15" s="3" t="inlineStr">
        <is>
          <t>SL 측벽 (중심선 기준)</t>
        </is>
      </c>
      <c r="B15" s="4" t="n">
        <v>11.6</v>
      </c>
      <c r="C15" s="3" t="inlineStr">
        <is>
          <t>무대 기본 치수</t>
        </is>
      </c>
    </row>
    <row r="16">
      <c r="A16" s="3" t="inlineStr">
        <is>
          <t>SR 측벽 (중심선 기준)</t>
        </is>
      </c>
      <c r="B16" s="4" t="n">
        <v>11.97</v>
      </c>
      <c r="C16" s="3" t="inlineStr">
        <is>
          <t>무대탑 우측 벽</t>
        </is>
      </c>
    </row>
    <row r="17">
      <c r="A17" s="3" t="inlineStr">
        <is>
          <t>프로시니엄 반폭</t>
        </is>
      </c>
      <c r="B17" s="4" t="n">
        <v>7.4</v>
      </c>
      <c r="C17" s="3" t="inlineStr">
        <is>
          <t>≈ 7.49</t>
        </is>
      </c>
    </row>
    <row r="18">
      <c r="A18" s="3" t="inlineStr">
        <is>
          <t>덧마루 연속 폭</t>
        </is>
      </c>
      <c r="B18" s="4" t="n">
        <v>13.2</v>
      </c>
      <c r="C18" s="3" t="inlineStr">
        <is>
          <t>배치안 (x ±6.6)</t>
        </is>
      </c>
    </row>
    <row r="19">
      <c r="A19" s="3" t="inlineStr">
        <is>
          <t>단 깊이 (1개)</t>
        </is>
      </c>
      <c r="B19" s="4" t="n">
        <v>1.8</v>
      </c>
      <c r="C19" s="3" t="inlineStr">
        <is>
          <t>덧마루 1800 모듈 기준</t>
        </is>
      </c>
    </row>
    <row r="20">
      <c r="A20" s="3" t="inlineStr">
        <is>
          <t>1단 앞선 y</t>
        </is>
      </c>
      <c r="B20" s="4" t="n">
        <v>6</v>
      </c>
      <c r="C20" s="3" t="inlineStr">
        <is>
          <t>배치안</t>
        </is>
      </c>
    </row>
    <row r="21">
      <c r="A21" s="3" t="inlineStr">
        <is>
          <t>3단 후면 y</t>
        </is>
      </c>
      <c r="B21" s="4" t="n">
        <v>11.4</v>
      </c>
      <c r="C21" s="3" t="inlineStr">
        <is>
          <t>배치안</t>
        </is>
      </c>
    </row>
    <row r="22">
      <c r="A22" s="3" t="inlineStr">
        <is>
          <t>프로젝터 y</t>
        </is>
      </c>
      <c r="B22" s="4" t="n">
        <v>14.9</v>
      </c>
      <c r="C22" s="3" t="inlineStr">
        <is>
          <t>배치안 (뒷벽 15.4 앞)</t>
        </is>
      </c>
    </row>
    <row r="23">
      <c r="A23" s="3" t="inlineStr">
        <is>
          <t>프로젝터 높이</t>
        </is>
      </c>
      <c r="B23" s="4" t="n">
        <v>3</v>
      </c>
      <c r="C23" s="3" t="inlineStr">
        <is>
          <t>가정 (스탠드)</t>
        </is>
      </c>
    </row>
    <row r="24">
      <c r="A24" s="3" t="inlineStr">
        <is>
          <t>샤막 하단 높이</t>
        </is>
      </c>
      <c r="B24" s="4" t="n">
        <v>0.3</v>
      </c>
      <c r="C24" s="3" t="inlineStr">
        <is>
          <t>가정</t>
        </is>
      </c>
    </row>
    <row r="25">
      <c r="A25" s="3" t="inlineStr">
        <is>
          <t>외부 프로젝터 광출력 (lm)</t>
        </is>
      </c>
      <c r="B25" s="4" t="n">
        <v>20000</v>
      </c>
      <c r="C25" s="3" t="inlineStr">
        <is>
          <t>스탭회의 언급 (레이저 2만 루멘)</t>
        </is>
      </c>
    </row>
    <row r="26">
      <c r="A26" s="3" t="inlineStr">
        <is>
          <t>극장 프로젝터 (ANSI lm)</t>
        </is>
      </c>
      <c r="B26" s="4" t="n">
        <v>15000</v>
      </c>
      <c r="C26" s="3" t="inlineStr">
        <is>
          <t>극장 기술자료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0" customWidth="1" min="4" max="4"/>
  </cols>
  <sheetData>
    <row r="1">
      <c r="A1" s="5" t="inlineStr">
        <is>
          <t>단 · 공간 산출</t>
        </is>
      </c>
    </row>
    <row r="3">
      <c r="A3" s="2" t="inlineStr">
        <is>
          <t>항목</t>
        </is>
      </c>
      <c r="B3" s="2" t="inlineStr">
        <is>
          <t>계산식</t>
        </is>
      </c>
      <c r="C3" s="2" t="inlineStr">
        <is>
          <t>결과</t>
        </is>
      </c>
      <c r="D3" s="2" t="inlineStr">
        <is>
          <t>단위</t>
        </is>
      </c>
    </row>
    <row r="4">
      <c r="A4" s="3" t="inlineStr">
        <is>
          <t>단 1개 면적</t>
        </is>
      </c>
      <c r="B4" s="3" t="inlineStr">
        <is>
          <t>기준치수!$B$18*기준치수!$B$19</t>
        </is>
      </c>
      <c r="C4" s="3">
        <f>기준치수!$B$18*기준치수!$B$19</f>
        <v/>
      </c>
      <c r="D4" s="3" t="inlineStr">
        <is>
          <t>㎡</t>
        </is>
      </c>
    </row>
    <row r="5">
      <c r="A5" s="3" t="inlineStr">
        <is>
          <t>단 3개 합계</t>
        </is>
      </c>
      <c r="B5" s="3" t="inlineStr">
        <is>
          <t>C4*3</t>
        </is>
      </c>
      <c r="C5" s="3">
        <f>C4*3</f>
        <v/>
      </c>
      <c r="D5" s="3" t="inlineStr">
        <is>
          <t>㎡</t>
        </is>
      </c>
    </row>
    <row r="6">
      <c r="A6" s="3" t="inlineStr">
        <is>
          <t>공연 영역 면적</t>
        </is>
      </c>
      <c r="B6" s="3" t="inlineStr">
        <is>
          <t>기준치수!$B$7*기준치수!$B$8</t>
        </is>
      </c>
      <c r="C6" s="3">
        <f>기준치수!$B$7*기준치수!$B$8</f>
        <v/>
      </c>
      <c r="D6" s="3" t="inlineStr">
        <is>
          <t>㎡</t>
        </is>
      </c>
    </row>
    <row r="7">
      <c r="A7" s="3" t="inlineStr">
        <is>
          <t>단 점유율</t>
        </is>
      </c>
      <c r="B7" s="3" t="inlineStr">
        <is>
          <t>C5/C6</t>
        </is>
      </c>
      <c r="C7" s="6">
        <f>C5/C6</f>
        <v/>
      </c>
      <c r="D7" s="3" t="inlineStr">
        <is>
          <t>비율</t>
        </is>
      </c>
    </row>
    <row r="8">
      <c r="A8" s="3" t="inlineStr">
        <is>
          <t>후방 간격</t>
        </is>
      </c>
      <c r="B8" s="3" t="inlineStr">
        <is>
          <t>기준치수!$B$12-기준치수!$B$21</t>
        </is>
      </c>
      <c r="C8" s="3">
        <f>기준치수!$B$12-기준치수!$B$21</f>
        <v/>
      </c>
      <c r="D8" s="3" t="inlineStr">
        <is>
          <t>m</t>
        </is>
      </c>
    </row>
    <row r="9">
      <c r="A9" s="3" t="inlineStr">
        <is>
          <t>연기 공간 깊이</t>
        </is>
      </c>
      <c r="B9" s="3" t="inlineStr">
        <is>
          <t>기준치수!$B$20-기준치수!$B$11</t>
        </is>
      </c>
      <c r="C9" s="3">
        <f>기준치수!$B$20-기준치수!$B$11</f>
        <v/>
      </c>
      <c r="D9" s="3" t="inlineStr">
        <is>
          <t>m</t>
        </is>
      </c>
    </row>
    <row r="10">
      <c r="A10" s="3" t="inlineStr">
        <is>
          <t>연기 공간 면적</t>
        </is>
      </c>
      <c r="B10" s="3" t="inlineStr">
        <is>
          <t>기준치수!$B$7*C9</t>
        </is>
      </c>
      <c r="C10" s="3">
        <f>기준치수!$B$7*C9</f>
        <v/>
      </c>
      <c r="D10" s="3" t="inlineStr">
        <is>
          <t>㎡</t>
        </is>
      </c>
    </row>
    <row r="11">
      <c r="A11" s="3" t="inlineStr">
        <is>
          <t>앙상블 14명 1인당 면적</t>
        </is>
      </c>
      <c r="B11" s="3" t="inlineStr">
        <is>
          <t>C10/14</t>
        </is>
      </c>
      <c r="C11" s="3">
        <f>C10/14</f>
        <v/>
      </c>
      <c r="D11" s="3" t="inlineStr">
        <is>
          <t>㎡/인</t>
        </is>
      </c>
    </row>
    <row r="12">
      <c r="A12" s="3" t="inlineStr">
        <is>
          <t>후방 통로 폭</t>
        </is>
      </c>
      <c r="B12" s="3" t="inlineStr">
        <is>
          <t>기준치수!$B$14-기준치수!$B$13</t>
        </is>
      </c>
      <c r="C12" s="3">
        <f>기준치수!$B$14-기준치수!$B$13</f>
        <v/>
      </c>
      <c r="D12" s="3" t="inlineStr">
        <is>
          <t>m</t>
        </is>
      </c>
    </row>
    <row r="13">
      <c r="A13" s="3" t="inlineStr">
        <is>
          <t>SL 윙 폭</t>
        </is>
      </c>
      <c r="B13" s="3" t="inlineStr">
        <is>
          <t>기준치수!$B$15-기준치수!$B$17</t>
        </is>
      </c>
      <c r="C13" s="3">
        <f>기준치수!$B$15-기준치수!$B$17</f>
        <v/>
      </c>
      <c r="D13" s="3" t="inlineStr">
        <is>
          <t>m</t>
        </is>
      </c>
    </row>
    <row r="14">
      <c r="A14" s="3" t="inlineStr">
        <is>
          <t>SR 윙 폭</t>
        </is>
      </c>
      <c r="B14" s="3" t="inlineStr">
        <is>
          <t>기준치수!$B$16-기준치수!$B$17</t>
        </is>
      </c>
      <c r="C14" s="3">
        <f>기준치수!$B$16-기준치수!$B$17</f>
        <v/>
      </c>
      <c r="D14" s="3" t="inlineStr">
        <is>
          <t>m</t>
        </is>
      </c>
    </row>
    <row r="15">
      <c r="A15" s="3" t="inlineStr">
        <is>
          <t>3단 후면 낙하 높이 안 A</t>
        </is>
      </c>
      <c r="B15" s="3" t="inlineStr">
        <is>
          <t>0.15*3</t>
        </is>
      </c>
      <c r="C15" s="3">
        <f>0.15*3</f>
        <v/>
      </c>
      <c r="D15" s="3" t="inlineStr">
        <is>
          <t>m</t>
        </is>
      </c>
    </row>
    <row r="16">
      <c r="A16" s="3" t="inlineStr">
        <is>
          <t>3단 후면 낙하 높이 안 B</t>
        </is>
      </c>
      <c r="B16" s="3" t="inlineStr">
        <is>
          <t>0.30*3</t>
        </is>
      </c>
      <c r="C16" s="3">
        <f>0.30*3</f>
        <v/>
      </c>
      <c r="D16" s="3" t="inlineStr">
        <is>
          <t>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6" customWidth="1" min="5" max="5"/>
    <col width="14" customWidth="1" min="6" max="6"/>
    <col width="12" customWidth="1" min="7" max="7"/>
    <col width="14" customWidth="1" min="8" max="8"/>
    <col width="10" customWidth="1" min="9" max="9"/>
  </cols>
  <sheetData>
    <row r="1">
      <c r="A1" s="5" t="inlineStr">
        <is>
          <t>덧마루 소요 길이와 보유 대조 (깊이 1.8m 모듈 기준)</t>
        </is>
      </c>
    </row>
    <row r="3">
      <c r="A3" s="2" t="inlineStr">
        <is>
          <t>모듈 (mm)</t>
        </is>
      </c>
      <c r="B3" s="2" t="inlineStr">
        <is>
          <t>폭 (m)</t>
        </is>
      </c>
      <c r="C3" s="2" t="inlineStr">
        <is>
          <t>보유 수량</t>
        </is>
      </c>
      <c r="D3" s="2" t="inlineStr">
        <is>
          <t>보유 길이 (m)</t>
        </is>
      </c>
      <c r="E3" s="2" t="inlineStr">
        <is>
          <t>안 A 사용 수량</t>
        </is>
      </c>
      <c r="F3" s="2" t="inlineStr">
        <is>
          <t>안 A 잔여</t>
        </is>
      </c>
    </row>
    <row r="4">
      <c r="A4" s="3" t="inlineStr">
        <is>
          <t>1800×1800</t>
        </is>
      </c>
      <c r="B4" s="3" t="n">
        <v>1.8</v>
      </c>
      <c r="C4" s="4" t="n">
        <v>13</v>
      </c>
      <c r="D4" s="3">
        <f>B4*C4</f>
        <v/>
      </c>
      <c r="E4" s="3" t="n">
        <v>13</v>
      </c>
      <c r="F4" s="3">
        <f>C4-E4</f>
        <v/>
      </c>
    </row>
    <row r="5">
      <c r="A5" s="3" t="inlineStr">
        <is>
          <t>900×2700 (2장 1조)</t>
        </is>
      </c>
      <c r="B5" s="3" t="n">
        <v>2.7</v>
      </c>
      <c r="C5" s="4" t="n">
        <v>4</v>
      </c>
      <c r="D5" s="3">
        <f>B5*C5</f>
        <v/>
      </c>
      <c r="E5" s="3" t="n">
        <v>4</v>
      </c>
      <c r="F5" s="3">
        <f>C5-E5</f>
        <v/>
      </c>
    </row>
    <row r="6">
      <c r="A6" s="3" t="inlineStr">
        <is>
          <t>1200×1800</t>
        </is>
      </c>
      <c r="B6" s="3" t="n">
        <v>1.2</v>
      </c>
      <c r="C6" s="4" t="n">
        <v>15</v>
      </c>
      <c r="D6" s="3">
        <f>B6*C6</f>
        <v/>
      </c>
      <c r="E6" s="3" t="n">
        <v>15</v>
      </c>
      <c r="F6" s="3">
        <f>C6-E6</f>
        <v/>
      </c>
    </row>
    <row r="7">
      <c r="A7" s="3" t="inlineStr">
        <is>
          <t>900×1800</t>
        </is>
      </c>
      <c r="B7" s="3" t="n">
        <v>0.9</v>
      </c>
      <c r="C7" s="4" t="n">
        <v>23</v>
      </c>
      <c r="D7" s="3">
        <f>B7*C7</f>
        <v/>
      </c>
      <c r="E7" s="3" t="n">
        <v>22</v>
      </c>
      <c r="F7" s="3">
        <f>C7-E7</f>
        <v/>
      </c>
    </row>
    <row r="8">
      <c r="A8" s="3" t="inlineStr">
        <is>
          <t>600×1800</t>
        </is>
      </c>
      <c r="B8" s="3" t="n">
        <v>0.6</v>
      </c>
      <c r="C8" s="4" t="n">
        <v>15</v>
      </c>
      <c r="D8" s="3">
        <f>B8*C8</f>
        <v/>
      </c>
      <c r="E8" s="3" t="n">
        <v>12</v>
      </c>
      <c r="F8" s="3">
        <f>C8-E8</f>
        <v/>
      </c>
    </row>
    <row r="9">
      <c r="A9" s="3" t="inlineStr">
        <is>
          <t>300×1800</t>
        </is>
      </c>
      <c r="B9" s="3" t="n">
        <v>0.3</v>
      </c>
      <c r="C9" s="4" t="n">
        <v>10</v>
      </c>
      <c r="D9" s="3">
        <f>B9*C9</f>
        <v/>
      </c>
      <c r="E9" s="3" t="n">
        <v>0</v>
      </c>
      <c r="F9" s="3">
        <f>C9-E9</f>
        <v/>
      </c>
    </row>
    <row r="10">
      <c r="A10" s="7" t="inlineStr">
        <is>
          <t>합계</t>
        </is>
      </c>
      <c r="B10" s="3" t="n"/>
      <c r="C10" s="3" t="n"/>
      <c r="D10" s="3">
        <f>SUM(D4:D9)</f>
        <v/>
      </c>
      <c r="E10" s="3" t="n"/>
      <c r="F10" s="3" t="n"/>
    </row>
    <row r="12">
      <c r="A12" s="2" t="inlineStr">
        <is>
          <t>안</t>
        </is>
      </c>
      <c r="B12" s="2" t="inlineStr">
        <is>
          <t>1단 층수</t>
        </is>
      </c>
      <c r="C12" s="2" t="inlineStr">
        <is>
          <t>2단 층수</t>
        </is>
      </c>
      <c r="D12" s="2" t="inlineStr">
        <is>
          <t>3단 층수</t>
        </is>
      </c>
      <c r="E12" s="2" t="inlineStr">
        <is>
          <t>필요 길이 (연속)</t>
        </is>
      </c>
      <c r="F12" s="2" t="inlineStr">
        <is>
          <t>판정</t>
        </is>
      </c>
    </row>
    <row r="13">
      <c r="A13" s="3" t="inlineStr">
        <is>
          <t>안 A (15cm 단위)</t>
        </is>
      </c>
      <c r="B13" s="4" t="n">
        <v>1</v>
      </c>
      <c r="C13" s="4" t="n">
        <v>2</v>
      </c>
      <c r="D13" s="4" t="n">
        <v>3</v>
      </c>
      <c r="E13" s="3">
        <f>(B13+C13+D13)*기준치수!$B$18</f>
        <v/>
      </c>
      <c r="F13" s="3">
        <f>IF(E13&lt;=$D$10,"구성 가능","보유 초과")</f>
        <v/>
      </c>
    </row>
    <row r="14">
      <c r="A14" s="3" t="inlineStr">
        <is>
          <t>안 B (30cm 단위)</t>
        </is>
      </c>
      <c r="B14" s="4" t="n">
        <v>2</v>
      </c>
      <c r="C14" s="4" t="n">
        <v>4</v>
      </c>
      <c r="D14" s="4" t="n">
        <v>6</v>
      </c>
      <c r="E14" s="3">
        <f>(B14+C14+D14)*기준치수!$B$18</f>
        <v/>
      </c>
      <c r="F14" s="3">
        <f>IF(E14&lt;=$D$10,"구성 가능","보유 초과")</f>
        <v/>
      </c>
    </row>
    <row r="16">
      <c r="A16" t="inlineStr">
        <is>
          <t>안 A 보유 대비 사용률</t>
        </is>
      </c>
      <c r="B16" s="8">
        <f>E13/D10</f>
        <v/>
      </c>
    </row>
    <row r="18">
      <c r="A18" s="2" t="inlineStr">
        <is>
          <t>안 A 층별 배열 (폭 13.2m)</t>
        </is>
      </c>
      <c r="B18" s="2" t="inlineStr">
        <is>
          <t>1800×1800</t>
        </is>
      </c>
      <c r="C18" s="2" t="inlineStr">
        <is>
          <t>900×2700 쌍</t>
        </is>
      </c>
      <c r="D18" s="2" t="inlineStr">
        <is>
          <t>1200×1800</t>
        </is>
      </c>
      <c r="E18" s="2" t="inlineStr">
        <is>
          <t>900×1800</t>
        </is>
      </c>
      <c r="F18" s="2" t="inlineStr">
        <is>
          <t>600×1800</t>
        </is>
      </c>
      <c r="G18" s="2" t="inlineStr">
        <is>
          <t>300×1800</t>
        </is>
      </c>
      <c r="H18" s="2" t="inlineStr">
        <is>
          <t>폭 합계 (m)</t>
        </is>
      </c>
      <c r="I18" s="2" t="inlineStr">
        <is>
          <t>폭 검산</t>
        </is>
      </c>
    </row>
    <row r="19">
      <c r="A19" s="3" t="inlineStr">
        <is>
          <t>1단 1층</t>
        </is>
      </c>
      <c r="B19" s="3" t="n">
        <v>0</v>
      </c>
      <c r="C19" s="3" t="n">
        <v>4</v>
      </c>
      <c r="D19" s="3" t="n">
        <v>2</v>
      </c>
      <c r="E19" s="3" t="n">
        <v>0</v>
      </c>
      <c r="F19" s="3" t="n">
        <v>0</v>
      </c>
      <c r="G19" s="3" t="n">
        <v>0</v>
      </c>
      <c r="H19" s="3">
        <f>B19*1.8+C19*2.7+D19*1.2+E19*0.9+F19*0.6+G19*0.3</f>
        <v/>
      </c>
      <c r="I19" s="3">
        <f>IF(ABS(H19-기준치수!$B$18)&lt;0.001,"일치","불일치")</f>
        <v/>
      </c>
    </row>
    <row r="20">
      <c r="A20" s="3" t="inlineStr">
        <is>
          <t>2단 1층</t>
        </is>
      </c>
      <c r="B20" s="3" t="n">
        <v>6</v>
      </c>
      <c r="C20" s="3" t="n">
        <v>0</v>
      </c>
      <c r="D20" s="3" t="n">
        <v>2</v>
      </c>
      <c r="E20" s="3" t="n">
        <v>0</v>
      </c>
      <c r="F20" s="3" t="n">
        <v>0</v>
      </c>
      <c r="G20" s="3" t="n">
        <v>0</v>
      </c>
      <c r="H20" s="3">
        <f>B20*1.8+C20*2.7+D20*1.2+E20*0.9+F20*0.6+G20*0.3</f>
        <v/>
      </c>
      <c r="I20" s="3">
        <f>IF(ABS(H20-기준치수!$B$18)&lt;0.001,"일치","불일치")</f>
        <v/>
      </c>
    </row>
    <row r="21">
      <c r="A21" s="3" t="inlineStr">
        <is>
          <t>2단 2층</t>
        </is>
      </c>
      <c r="B21" s="3" t="n">
        <v>6</v>
      </c>
      <c r="C21" s="3" t="n">
        <v>0</v>
      </c>
      <c r="D21" s="3" t="n">
        <v>2</v>
      </c>
      <c r="E21" s="3" t="n">
        <v>0</v>
      </c>
      <c r="F21" s="3" t="n">
        <v>0</v>
      </c>
      <c r="G21" s="3" t="n">
        <v>0</v>
      </c>
      <c r="H21" s="3">
        <f>B21*1.8+C21*2.7+D21*1.2+E21*0.9+F21*0.6+G21*0.3</f>
        <v/>
      </c>
      <c r="I21" s="3">
        <f>IF(ABS(H21-기준치수!$B$18)&lt;0.001,"일치","불일치")</f>
        <v/>
      </c>
    </row>
    <row r="22">
      <c r="A22" s="3" t="inlineStr">
        <is>
          <t>3단 1층</t>
        </is>
      </c>
      <c r="B22" s="3" t="n">
        <v>1</v>
      </c>
      <c r="C22" s="3" t="n">
        <v>0</v>
      </c>
      <c r="D22" s="3" t="n">
        <v>8</v>
      </c>
      <c r="E22" s="3" t="n">
        <v>2</v>
      </c>
      <c r="F22" s="3" t="n">
        <v>0</v>
      </c>
      <c r="G22" s="3" t="n">
        <v>0</v>
      </c>
      <c r="H22" s="3">
        <f>B22*1.8+C22*2.7+D22*1.2+E22*0.9+F22*0.6+G22*0.3</f>
        <v/>
      </c>
      <c r="I22" s="3">
        <f>IF(ABS(H22-기준치수!$B$18)&lt;0.001,"일치","불일치")</f>
        <v/>
      </c>
    </row>
    <row r="23">
      <c r="A23" s="3" t="inlineStr">
        <is>
          <t>3단 2층</t>
        </is>
      </c>
      <c r="B23" s="3" t="n">
        <v>0</v>
      </c>
      <c r="C23" s="3" t="n">
        <v>0</v>
      </c>
      <c r="D23" s="3" t="n">
        <v>0</v>
      </c>
      <c r="E23" s="3" t="n">
        <v>14</v>
      </c>
      <c r="F23" s="3" t="n">
        <v>1</v>
      </c>
      <c r="G23" s="3" t="n">
        <v>0</v>
      </c>
      <c r="H23" s="3">
        <f>B23*1.8+C23*2.7+D23*1.2+E23*0.9+F23*0.6+G23*0.3</f>
        <v/>
      </c>
      <c r="I23" s="3">
        <f>IF(ABS(H23-기준치수!$B$18)&lt;0.001,"일치","불일치")</f>
        <v/>
      </c>
    </row>
    <row r="24">
      <c r="A24" s="3" t="inlineStr">
        <is>
          <t>3단 3층</t>
        </is>
      </c>
      <c r="B24" s="3" t="n">
        <v>0</v>
      </c>
      <c r="C24" s="3" t="n">
        <v>0</v>
      </c>
      <c r="D24" s="3" t="n">
        <v>1</v>
      </c>
      <c r="E24" s="3" t="n">
        <v>6</v>
      </c>
      <c r="F24" s="3" t="n">
        <v>11</v>
      </c>
      <c r="G24" s="3" t="n">
        <v>0</v>
      </c>
      <c r="H24" s="3">
        <f>B24*1.8+C24*2.7+D24*1.2+E24*0.9+F24*0.6+G24*0.3</f>
        <v/>
      </c>
      <c r="I24" s="3">
        <f>IF(ABS(H24-기준치수!$B$18)&lt;0.001,"일치","불일치")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18" customWidth="1" min="3" max="3"/>
    <col width="18" customWidth="1" min="4" max="4"/>
    <col width="26" customWidth="1" min="5" max="5"/>
    <col width="22" customWidth="1" min="6" max="6"/>
    <col width="22" customWidth="1" min="7" max="7"/>
    <col width="16" customWidth="1" min="8" max="8"/>
    <col width="16" customWidth="1" min="9" max="9"/>
  </cols>
  <sheetData>
    <row r="1">
      <c r="A1" s="5" t="inlineStr">
        <is>
          <t>영사 계산 (후방 프로젝터 → 샤막)</t>
        </is>
      </c>
    </row>
    <row r="3">
      <c r="A3" s="2" t="inlineStr">
        <is>
          <t>항목</t>
        </is>
      </c>
      <c r="B3" s="2" t="inlineStr">
        <is>
          <t>계산식</t>
        </is>
      </c>
      <c r="C3" s="2" t="inlineStr">
        <is>
          <t>결과</t>
        </is>
      </c>
      <c r="D3" s="2" t="inlineStr">
        <is>
          <t>단위</t>
        </is>
      </c>
    </row>
    <row r="4">
      <c r="A4" s="3" t="inlineStr">
        <is>
          <t>투사 거리</t>
        </is>
      </c>
      <c r="B4" s="3" t="inlineStr">
        <is>
          <t>기준치수!$B$22-기준치수!$B$11</t>
        </is>
      </c>
      <c r="C4" s="3">
        <f>기준치수!$B$22-기준치수!$B$11</f>
        <v/>
      </c>
      <c r="D4" s="3" t="inlineStr">
        <is>
          <t>m</t>
        </is>
      </c>
    </row>
    <row r="5">
      <c r="A5" s="3" t="inlineStr">
        <is>
          <t>필요 투사비</t>
        </is>
      </c>
      <c r="B5" s="3" t="inlineStr">
        <is>
          <t>C4/기준치수!$B$9</t>
        </is>
      </c>
      <c r="C5" s="3">
        <f>C4/기준치수!$B$9</f>
        <v/>
      </c>
      <c r="D5" s="3" t="inlineStr">
        <is>
          <t>: 1</t>
        </is>
      </c>
    </row>
    <row r="6">
      <c r="A6" s="3" t="inlineStr">
        <is>
          <t>영상 높이 16:9</t>
        </is>
      </c>
      <c r="B6" s="3" t="inlineStr">
        <is>
          <t>기준치수!$B$9*9/16</t>
        </is>
      </c>
      <c r="C6" s="3">
        <f>기준치수!$B$9*9/16</f>
        <v/>
      </c>
      <c r="D6" s="3" t="inlineStr">
        <is>
          <t>m</t>
        </is>
      </c>
    </row>
    <row r="7">
      <c r="A7" s="3" t="inlineStr">
        <is>
          <t>영상 높이 16:10</t>
        </is>
      </c>
      <c r="B7" s="3" t="inlineStr">
        <is>
          <t>기준치수!$B$9*10/16</t>
        </is>
      </c>
      <c r="C7" s="3">
        <f>기준치수!$B$9*10/16</f>
        <v/>
      </c>
      <c r="D7" s="3" t="inlineStr">
        <is>
          <t>m</t>
        </is>
      </c>
    </row>
    <row r="8">
      <c r="A8" s="3" t="inlineStr">
        <is>
          <t>16:10 샤막 높이 초과량</t>
        </is>
      </c>
      <c r="B8" s="3" t="inlineStr">
        <is>
          <t>MAX(0,C7-기준치수!$B$10)</t>
        </is>
      </c>
      <c r="C8" s="3">
        <f>MAX(0,C7-기준치수!$B$10)</f>
        <v/>
      </c>
      <c r="D8" s="3" t="inlineStr">
        <is>
          <t>m</t>
        </is>
      </c>
    </row>
    <row r="9">
      <c r="A9" s="3" t="inlineStr">
        <is>
          <t>영상 면적 16:9</t>
        </is>
      </c>
      <c r="B9" s="3" t="inlineStr">
        <is>
          <t>기준치수!$B$9*C6</t>
        </is>
      </c>
      <c r="C9" s="3">
        <f>기준치수!$B$9*C6</f>
        <v/>
      </c>
      <c r="D9" s="3" t="inlineStr">
        <is>
          <t>㎡</t>
        </is>
      </c>
    </row>
    <row r="10">
      <c r="A10" s="3" t="inlineStr">
        <is>
          <t>공칭 조도 (외부 프로젝터)</t>
        </is>
      </c>
      <c r="B10" s="3" t="inlineStr">
        <is>
          <t>기준치수!$B$25/C9</t>
        </is>
      </c>
      <c r="C10" s="3">
        <f>기준치수!$B$25/C9</f>
        <v/>
      </c>
      <c r="D10" s="3" t="inlineStr">
        <is>
          <t>lx</t>
        </is>
      </c>
    </row>
    <row r="11">
      <c r="A11" s="3" t="inlineStr">
        <is>
          <t>공칭 조도 (극장 프로젝터)</t>
        </is>
      </c>
      <c r="B11" s="3" t="inlineStr">
        <is>
          <t>기준치수!$B$26/C9</t>
        </is>
      </c>
      <c r="C11" s="3">
        <f>기준치수!$B$26/C9</f>
        <v/>
      </c>
      <c r="D11" s="3" t="inlineStr">
        <is>
          <t>lx</t>
        </is>
      </c>
    </row>
    <row r="12">
      <c r="A12" s="3" t="inlineStr">
        <is>
          <t>영상 하단 높이 z_b</t>
        </is>
      </c>
      <c r="B12" s="3" t="inlineStr">
        <is>
          <t>기준치수!$B$24+(기준치수!$B$10-C6)/2</t>
        </is>
      </c>
      <c r="C12" s="3">
        <f>기준치수!$B$24+(기준치수!$B$10-C6)/2</f>
        <v/>
      </c>
      <c r="D12" s="3" t="inlineStr">
        <is>
          <t>m</t>
        </is>
      </c>
    </row>
    <row r="15">
      <c r="A15" s="2" t="inlineStr">
        <is>
          <t>위치</t>
        </is>
      </c>
      <c r="B15" s="2" t="inlineStr">
        <is>
          <t>y (m)</t>
        </is>
      </c>
      <c r="C15" s="2" t="inlineStr">
        <is>
          <t>머리 높이 안 A (m)</t>
        </is>
      </c>
      <c r="D15" s="2" t="inlineStr">
        <is>
          <t>머리 높이 안 B (m)</t>
        </is>
      </c>
      <c r="E15" s="2" t="inlineStr">
        <is>
          <t>t = (프로젝터y − y) ÷ 투사거리</t>
        </is>
      </c>
      <c r="F15" s="2" t="inlineStr">
        <is>
          <t>필요 프로젝터 높이 A (m)</t>
        </is>
      </c>
      <c r="G15" s="2" t="inlineStr">
        <is>
          <t>필요 프로젝터 높이 B (m)</t>
        </is>
      </c>
      <c r="H15" s="2" t="inlineStr">
        <is>
          <t>현재 높이 판정 A</t>
        </is>
      </c>
      <c r="I15" s="2" t="inlineStr">
        <is>
          <t>현재 높이 판정 B</t>
        </is>
      </c>
    </row>
    <row r="16">
      <c r="A16" s="3" t="inlineStr">
        <is>
          <t>3단 후면 (서서)</t>
        </is>
      </c>
      <c r="B16" s="4" t="n">
        <v>11.4</v>
      </c>
      <c r="C16" s="4" t="n">
        <v>2.15</v>
      </c>
      <c r="D16" s="4" t="n">
        <v>2.6</v>
      </c>
      <c r="E16" s="3">
        <f>(기준치수!$B$22-B16)/$C$4</f>
        <v/>
      </c>
      <c r="F16" s="3">
        <f>(C16-$C$12*E16)/(1-E16)</f>
        <v/>
      </c>
      <c r="G16" s="3">
        <f>(D16-$C$12*E16)/(1-E16)</f>
        <v/>
      </c>
      <c r="H16" s="3">
        <f>IF(기준치수!$B$23&gt;=F16,"가능","부족")</f>
        <v/>
      </c>
      <c r="I16" s="3">
        <f>IF(기준치수!$B$23&gt;=G16,"가능","부족")</f>
        <v/>
      </c>
    </row>
    <row r="17">
      <c r="A17" s="3" t="inlineStr">
        <is>
          <t>3단 후면 (앉아)</t>
        </is>
      </c>
      <c r="B17" s="4" t="n">
        <v>11.4</v>
      </c>
      <c r="C17" s="4" t="n">
        <v>1.75</v>
      </c>
      <c r="D17" s="4" t="n">
        <v>2.2</v>
      </c>
      <c r="E17" s="3">
        <f>(기준치수!$B$22-B17)/$C$4</f>
        <v/>
      </c>
      <c r="F17" s="3">
        <f>(C17-$C$12*E17)/(1-E17)</f>
        <v/>
      </c>
      <c r="G17" s="3">
        <f>(D17-$C$12*E17)/(1-E17)</f>
        <v/>
      </c>
      <c r="H17" s="3">
        <f>IF(기준치수!$B$23&gt;=F17,"가능","부족")</f>
        <v/>
      </c>
      <c r="I17" s="3">
        <f>IF(기준치수!$B$23&gt;=G17,"가능","부족")</f>
        <v/>
      </c>
    </row>
    <row r="18">
      <c r="A18" s="3" t="inlineStr">
        <is>
          <t>2단 중앙 (앉아)</t>
        </is>
      </c>
      <c r="B18" s="4" t="n">
        <v>8.699999999999999</v>
      </c>
      <c r="C18" s="4" t="n">
        <v>1.6</v>
      </c>
      <c r="D18" s="4" t="n">
        <v>1.9</v>
      </c>
      <c r="E18" s="3">
        <f>(기준치수!$B$22-B18)/$C$4</f>
        <v/>
      </c>
      <c r="F18" s="3">
        <f>(C18-$C$12*E18)/(1-E18)</f>
        <v/>
      </c>
      <c r="G18" s="3">
        <f>(D18-$C$12*E18)/(1-E18)</f>
        <v/>
      </c>
      <c r="H18" s="3">
        <f>IF(기준치수!$B$23&gt;=F18,"가능","부족")</f>
        <v/>
      </c>
      <c r="I18" s="3">
        <f>IF(기준치수!$B$23&gt;=G18,"가능","부족")</f>
        <v/>
      </c>
    </row>
    <row r="19">
      <c r="A19" s="3" t="inlineStr">
        <is>
          <t>1단 중앙 (앉아)</t>
        </is>
      </c>
      <c r="B19" s="4" t="n">
        <v>6.9</v>
      </c>
      <c r="C19" s="4" t="n">
        <v>1.45</v>
      </c>
      <c r="D19" s="4" t="n">
        <v>1.6</v>
      </c>
      <c r="E19" s="3">
        <f>(기준치수!$B$22-B19)/$C$4</f>
        <v/>
      </c>
      <c r="F19" s="3">
        <f>(C19-$C$12*E19)/(1-E19)</f>
        <v/>
      </c>
      <c r="G19" s="3">
        <f>(D19-$C$12*E19)/(1-E19)</f>
        <v/>
      </c>
      <c r="H19" s="3">
        <f>IF(기준치수!$B$23&gt;=F19,"가능","부족")</f>
        <v/>
      </c>
      <c r="I19" s="3">
        <f>IF(기준치수!$B$23&gt;=G19,"가능","부족")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가정과 한계</t>
        </is>
      </c>
    </row>
    <row r="3">
      <c r="A3" s="9" t="inlineStr">
        <is>
          <t>단 위치(y 6.0~11.4), 폭 13.2m 연속 구성, 후방 간격 1.5m는 배치안이며 조명 감독 · 극장 협의로 확정합니다</t>
        </is>
      </c>
    </row>
    <row r="4">
      <c r="A4" s="9" t="inlineStr">
        <is>
          <t>샤막 하단 높이 0.3m, 영상은 샤막 중앙에 16:9, 프로젝터 y 14.9m 높이 3.0m는 가정입니다</t>
        </is>
      </c>
    </row>
    <row r="5">
      <c r="A5" s="9" t="inlineStr">
        <is>
          <t>연주자 머리 높이는 서서 1.7m, 앉아서 1.3m로 가정했습니다</t>
        </is>
      </c>
    </row>
    <row r="6">
      <c r="A6" s="9" t="inlineStr">
        <is>
          <t>덧마루 산출은 층을 쌓는 방식(솔리드 적층) 기준입니다. 받침통 80개와 3단 합창단 6세트를 쓰면 수량이 달라집니다</t>
        </is>
      </c>
    </row>
    <row r="7">
      <c r="A7" s="9" t="inlineStr">
        <is>
          <t>조도는 광출력 ÷ 영상 면적의 공칭 값이며 샤막 투과 손실, 렌즈 효율은 반영하지 않았습니다</t>
        </is>
      </c>
    </row>
    <row r="8">
      <c r="A8" s="9" t="inlineStr">
        <is>
          <t>극장 장비 자료는 2014 ~ 2016년 기준입니다. 단 위 허용 하중과 후면 안전 조치는 극장 무대감독에게 확인합니다</t>
        </is>
      </c>
    </row>
    <row r="9">
      <c r="A9" s="9" t="inlineStr">
        <is>
          <t>일반 보행 계단 단높이(약 18cm 이하)는 참고용 비교이며 법정 기준 검토를 대신하지 않습니다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2026-10-06T06:59:48Z</dcterms:created>
  <dcterms:modified xmlns:dcterms="http://purl.org/dc/terms/" xmlns:xsi="http://www.w3.org/2001/XMLSchema-instance" xsi:type="dcterms:W3CDTF">2026-10-06T06:59:48Z</dcterms:modified>
</cp:coreProperties>
</file>